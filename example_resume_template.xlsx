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" sheetId="1" state="visible" r:id="rId3"/>
    <sheet name="Data" sheetId="2" state="hidden" r:id="rId4"/>
  </sheets>
  <definedNames>
    <definedName function="false" hidden="false" localSheetId="0" name="_xlnm.Print_Area" vbProcedure="false">Resume!$A$1:$F$43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<sst xmlns="http://schemas.openxmlformats.org/spreadsheetml/2006/main" count="65" uniqueCount="65">
  <si>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 xml:space="preserve">Nickie Bryan Lozada Cabiliza</t>
  </si>
  <si>
    <t xml:space="preserve">Sagñay, Camarines Sur, Philippines  |  (+63) 915-318-5963  |  nblcabiliza@gmail.com</t>
  </si>
  <si>
    <t xml:space="preserve">Summary</t>
  </si>
  <si>
    <t xml:space="preserve">Core Skills</t>
  </si>
  <si>
    <t xml:space="preserve">Professional Experience</t>
  </si>
  <si>
    <t xml:space="preserve">March 2026 – Present</t>
  </si>
  <si>
    <t xml:space="preserve">Accenture, Philippines — Application Management (AM) / AMS Operations Lead &amp; Japanese Bilingual</t>
  </si>
  <si>
    <t xml:space="preserve">Aug 2024 – March 2026</t>
  </si>
  <si>
    <t xml:space="preserve">Accenture, Philippines — Custom Software Engineering Team Lead &amp; Japanese Bilingual</t>
  </si>
  <si>
    <t xml:space="preserve">Sept 2023 – Jul 2024</t>
  </si>
  <si>
    <t xml:space="preserve">Accenture, Philippines — Packaged Application Development Senior Analyst &amp; Japanese Bilingual</t>
  </si>
  <si>
    <t xml:space="preserve">Aug 2022 – Aug 2023</t>
  </si>
  <si>
    <t xml:space="preserve">IDEMIA Philippines — Software Developer II – SET R&amp;D Embedded</t>
  </si>
  <si>
    <t xml:space="preserve">Apr 2015 – Jul 2022</t>
  </si>
  <si>
    <t xml:space="preserve">Denso Tech Philippines — Technical Leader – Engine &amp; OBD Domain</t>
  </si>
  <si>
    <t xml:space="preserve">Education</t>
  </si>
  <si>
    <t xml:space="preserve">2020–2022, Not Finished</t>
  </si>
  <si>
    <t xml:space="preserve">Mapúa Institute of Technology – Manila — Master of Engineering, Computer Engineering</t>
  </si>
  <si>
    <t xml:space="preserve">2010–2015</t>
  </si>
  <si>
    <t xml:space="preserve">National University – Manila — Bachelor of Science in Computer Engineering — SM Foundation Scholar</t>
  </si>
  <si>
    <t xml:space="preserve">Field</t>
  </si>
  <si>
    <t xml:space="preserve">Value</t>
  </si>
  <si>
    <t xml:space="preserve">Legend: Column A = field name used by the resume tool / Resume sheet formulas. Column B = the current text for that field. Edit Column B directly, or let fill-resume-xlsx overwrite it per job.</t>
  </si>
  <si>
    <t xml:space="preserve">HEADLINE</t>
  </si>
  <si>
    <t xml:space="preserve">Custom Software Engineering Team Lead</t>
  </si>
  <si>
    <t xml:space="preserve">SUMMARY</t>
  </si>
  <si>
    <t xml:space="preserve">Leadership and technical expertise in software engineering, IAM/IDM operations, and automation, with experience in managing global delivery environments.</t>
  </si>
  <si>
    <t xml:space="preserve">CORE_SKILLS</t>
  </si>
  <si>
    <t xml:space="preserve">Java, Spring Boot, REST, Java Enterprise Edition, DevOps tools (JIRA, Bitbucket, Jenkins), ITIL/ITSM, ServiceNow, IAM/IDM, Active Directory, LDAP, Microsoft 365, L2/L3 Support, Incident &amp; Request Management, SLA Management, Automation, GenAI (M365 Copilot, Claude)</t>
  </si>
  <si>
    <t xml:space="preserve">EXP1_BULLET1</t>
  </si>
  <si>
    <t xml:space="preserve">Led IAM/IDM platform operations, handling L2/L3 incidents and requests, and ensuring SLA compliance.</t>
  </si>
  <si>
    <t xml:space="preserve">EXP1_BULLET2</t>
  </si>
  <si>
    <t xml:space="preserve">Designed and implemented AI-enabled operational improvements, including AI assistants and workflow automations, reducing manual operational effort by approximately 60%.</t>
  </si>
  <si>
    <t xml:space="preserve">EXP1_BULLET3</t>
  </si>
  <si>
    <t xml:space="preserve">Applied Java Enterprise Edition skills to support and maintain application stability.</t>
  </si>
  <si>
    <t xml:space="preserve">EXP1_BULLET4</t>
  </si>
  <si>
    <t xml:space="preserve">Collaborated with Japanese stakeholders, leveraging language skills (JLPT N3) for effective communication.</t>
  </si>
  <si>
    <t xml:space="preserve">EXP2_BULLET1</t>
  </si>
  <si>
    <t xml:space="preserve">Directed AMS platform operations, ensuring SLA compliance, system availability, and incident resolution.</t>
  </si>
  <si>
    <t xml:space="preserve">EXP2_BULLET2</t>
  </si>
  <si>
    <t xml:space="preserve">Built Java-based automation tools that streamlined application operations and reduced manual workload.</t>
  </si>
  <si>
    <t xml:space="preserve">EXP2_BULLET3</t>
  </si>
  <si>
    <t xml:space="preserve">Designed backend utilities with enhanced logging and reliability.</t>
  </si>
  <si>
    <t xml:space="preserve">EXP3_BULLET1</t>
  </si>
  <si>
    <t xml:space="preserve">Developed features using Node.js, Spring Boot, AWS SQL, and Terraform.</t>
  </si>
  <si>
    <t xml:space="preserve">EXP3_BULLET2</t>
  </si>
  <si>
    <t xml:space="preserve">Maintained Spring Boot applications, applying security patches and dependency upgrades.</t>
  </si>
  <si>
    <t xml:space="preserve">EXP3_BULLET3</t>
  </si>
  <si>
    <t xml:space="preserve">Acted as a 'software detective' to identify and resolve issues across multiple components of critical business systems, applying Java Enterprise Edition skills.</t>
  </si>
  <si>
    <t xml:space="preserve">EXP3_BULLET4</t>
  </si>
  <si>
    <t xml:space="preserve">Defined product strategy and roadmap for 5 AMS products, managing SLAs and knowledge transfer.</t>
  </si>
  <si>
    <t xml:space="preserve">EXP4_BULLET1</t>
  </si>
  <si>
    <t xml:space="preserve">Developed smartcard applets (ISO7816, GlobalPlatform).</t>
  </si>
  <si>
    <t xml:space="preserve">EXP4_BULLET2</t>
  </si>
  <si>
    <t xml:space="preserve">Integrated FIDO/FIDO2 authentication into smartcards/hardware tokens.</t>
  </si>
  <si>
    <t xml:space="preserve">EXP4_BULLET3</t>
  </si>
  <si>
    <t xml:space="preserve">Supported full lifecycle from prototyping to compliance validation.</t>
  </si>
  <si>
    <t xml:space="preserve">EXP5_BULLET1</t>
  </si>
  <si>
    <t xml:space="preserve">Led embedded automotive software projects in Engine/OBD domain.</t>
  </si>
  <si>
    <t xml:space="preserve">EXP5_BULLET2</t>
  </si>
  <si>
    <t xml:space="preserve">Applied Toyota standards, MISRA 2004/2012, C90/C99 compliance.</t>
  </si>
  <si>
    <t xml:space="preserve">EXP5_BULLET3</t>
  </si>
  <si>
    <t xml:space="preserve">Designed sensor/data interface logic for real-time automotive systems.</t>
  </si>
  <si>
    <t xml:space="preserve">EXP5_BULLET4</t>
  </si>
  <si>
    <t xml:space="preserve">Trained engineers in embedded development and unit testing.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</si>
</sst>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 style="dashed">
        <color rgb="FF999999"/>
      </left>
      <right style="dashed">
        <color rgb="FF999999"/>
      </right>
      <top style="dashed">
        <color rgb="FF999999"/>
      </top>
      <bottom/>
      <diagonal/>
    </border>
    <border diagonalUp="false" diagonalDown="false">
      <left style="dashed">
        <color rgb="FF999999"/>
      </left>
      <right style="dashed">
        <color rgb="FF999999"/>
      </right>
      <top/>
      <bottom/>
      <diagonal/>
    </border>
    <border diagonalUp="false" diagonalDown="false">
      <left style="dashed">
        <color rgb="FF999999"/>
      </left>
      <right style="dashed">
        <color rgb="FF999999"/>
      </right>
      <top/>
      <bottom style="dashed">
        <color rgb="FF999999"/>
      </bottom>
      <diagonal/>
    </border>
    <border diagonalUp="false" diagonalDown="false">
      <left style="dashed">
        <color rgb="FF999999"/>
      </left>
      <right style="dashed">
        <color rgb="FF999999"/>
      </right>
      <top style="dashed">
        <color rgb="FF999999"/>
      </top>
      <bottom style="dashed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5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tr">
        <f aca="false">Data!B2</f>
        <v>Custom Software Engineering Team Lead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1</v>
      </c>
      <c r="B3" s="4"/>
      <c r="C3" s="4"/>
      <c r="D3" s="4"/>
      <c r="E3" s="4"/>
      <c r="F3" s="4"/>
    </row>
    <row r="5" customFormat="false" ht="15" hidden="false" customHeight="true" outlineLevel="0" collapsed="false">
      <c r="A5" s="5"/>
      <c r="B5" s="5"/>
      <c r="C5" s="5"/>
      <c r="D5" s="5"/>
      <c r="E5" s="5"/>
      <c r="F5" s="5"/>
    </row>
    <row r="6" customFormat="false" ht="27.75" hidden="false" customHeight="true" outlineLevel="0" collapsed="false">
      <c r="A6" s="6" t="s">
        <v>2</v>
      </c>
      <c r="B6" s="4" t="str">
        <f aca="false">Data!B3</f>
        <v>Leadership and technical expertise in software engineering, IAM/IDM operations, and automation, with experience in managing global delivery environments.</v>
      </c>
      <c r="C6" s="4"/>
      <c r="D6" s="4"/>
      <c r="E6" s="4"/>
      <c r="F6" s="4"/>
    </row>
    <row r="8" customFormat="false" ht="42" hidden="false" customHeight="true" outlineLevel="0" collapsed="false">
      <c r="A8" s="7" t="s">
        <v>3</v>
      </c>
      <c r="B8" s="4" t="str">
        <f aca="false">Data!B4</f>
        <v>Java, Spring Boot, REST, Java Enterprise Edition, DevOps tools (JIRA, Bitbucket, Jenkins), ITIL/ITSM, ServiceNow, IAM/IDM, Active Directory, LDAP, Microsoft 365, L2/L3 Support, Incident &amp; Request Management, SLA Management, Automation, GenAI (M365 Copilot, Claude)</v>
      </c>
      <c r="C8" s="4"/>
      <c r="D8" s="4"/>
      <c r="E8" s="4"/>
      <c r="F8" s="4"/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</row>
    <row r="11" customFormat="false" ht="15" hidden="false" customHeight="true" outlineLevel="0" collapsed="false">
      <c r="A11" s="8" t="s">
        <v>4</v>
      </c>
      <c r="B11" s="8"/>
      <c r="C11" s="8"/>
      <c r="D11" s="8"/>
      <c r="E11" s="8"/>
      <c r="F11" s="8"/>
    </row>
    <row r="12" customFormat="false" ht="21.75" hidden="false" customHeight="true" outlineLevel="0" collapsed="false">
      <c r="A12" s="9" t="s">
        <v>5</v>
      </c>
      <c r="B12" s="10" t="s">
        <v>6</v>
      </c>
      <c r="C12" s="10"/>
      <c r="D12" s="10"/>
      <c r="E12" s="10"/>
      <c r="F12" s="10"/>
    </row>
    <row r="13" customFormat="false" ht="21.75" hidden="false" customHeight="true" outlineLevel="0" collapsed="false">
      <c r="A13" s="11"/>
      <c r="B13" s="12" t="str">
        <f aca="false">"•  "&amp;Data!B5</f>
        <v>•  Led IAM/IDM platform operations, handling L2/L3 incidents and requests, and ensuring SLA compliance.</v>
      </c>
      <c r="C13" s="12"/>
      <c r="D13" s="12"/>
      <c r="E13" s="12"/>
      <c r="F13" s="12"/>
    </row>
    <row r="14" customFormat="false" ht="21.75" hidden="false" customHeight="true" outlineLevel="0" collapsed="false">
      <c r="A14" s="11"/>
      <c r="B14" s="12" t="str">
        <f aca="false">"•  "&amp;Data!B6</f>
        <v>•  Designed and implemented AI-enabled operational improvements, including AI assistants and workflow automations, reducing manual operational effort by approximately 60%.</v>
      </c>
      <c r="C14" s="12"/>
      <c r="D14" s="12"/>
      <c r="E14" s="12"/>
      <c r="F14" s="12"/>
    </row>
    <row r="15" customFormat="false" ht="15" hidden="false" customHeight="true" outlineLevel="0" collapsed="false">
      <c r="A15" s="11"/>
      <c r="B15" s="12" t="str">
        <f aca="false">"•  "&amp;Data!B7</f>
        <v>•  Applied Java Enterprise Edition skills to support and maintain application stability.</v>
      </c>
      <c r="C15" s="12"/>
      <c r="D15" s="12"/>
      <c r="E15" s="12"/>
      <c r="F15" s="12"/>
    </row>
    <row r="16" customFormat="false" ht="21.75" hidden="false" customHeight="true" outlineLevel="0" collapsed="false">
      <c r="A16" s="13"/>
      <c r="B16" s="14" t="str">
        <f aca="false">"•  "&amp;Data!B8</f>
        <v>•  Collaborated with Japanese stakeholders, leveraging language skills (JLPT N3) for effective communication.</v>
      </c>
      <c r="C16" s="14"/>
      <c r="D16" s="14"/>
      <c r="E16" s="14"/>
      <c r="F16" s="14"/>
    </row>
    <row r="18" customFormat="false" ht="21.75" hidden="false" customHeight="true" outlineLevel="0" collapsed="false">
      <c r="A18" s="9" t="s">
        <v>7</v>
      </c>
      <c r="B18" s="10" t="s">
        <v>8</v>
      </c>
      <c r="C18" s="10"/>
      <c r="D18" s="10"/>
      <c r="E18" s="10"/>
      <c r="F18" s="10"/>
    </row>
    <row r="19" customFormat="false" ht="21.75" hidden="false" customHeight="true" outlineLevel="0" collapsed="false">
      <c r="A19" s="11"/>
      <c r="B19" s="12" t="str">
        <f aca="false">"•  "&amp;Data!B9</f>
        <v>•  Directed AMS platform operations, ensuring SLA compliance, system availability, and incident resolution.</v>
      </c>
      <c r="C19" s="12"/>
      <c r="D19" s="12"/>
      <c r="E19" s="12"/>
      <c r="F19" s="12"/>
    </row>
    <row r="20" customFormat="false" ht="21.75" hidden="false" customHeight="true" outlineLevel="0" collapsed="false">
      <c r="A20" s="11"/>
      <c r="B20" s="12" t="str">
        <f aca="false">"•  "&amp;Data!B10</f>
        <v>•  Built Java-based automation tools that streamlined application operations and reduced manual workload.</v>
      </c>
      <c r="C20" s="12"/>
      <c r="D20" s="12"/>
      <c r="E20" s="12"/>
      <c r="F20" s="12"/>
    </row>
    <row r="21" customFormat="false" ht="15" hidden="false" customHeight="true" outlineLevel="0" collapsed="false">
      <c r="A21" s="13"/>
      <c r="B21" s="14" t="str">
        <f aca="false">"•  "&amp;Data!B11</f>
        <v>•  Designed backend utilities with enhanced logging and reliability.</v>
      </c>
      <c r="C21" s="14"/>
      <c r="D21" s="14"/>
      <c r="E21" s="14"/>
      <c r="F21" s="14"/>
    </row>
    <row r="23" customFormat="false" ht="21.75" hidden="false" customHeight="true" outlineLevel="0" collapsed="false">
      <c r="A23" s="9" t="s">
        <v>9</v>
      </c>
      <c r="B23" s="10" t="s">
        <v>10</v>
      </c>
      <c r="C23" s="10"/>
      <c r="D23" s="10"/>
      <c r="E23" s="10"/>
      <c r="F23" s="10"/>
    </row>
    <row r="24" customFormat="false" ht="15" hidden="false" customHeight="true" outlineLevel="0" collapsed="false">
      <c r="A24" s="11"/>
      <c r="B24" s="12" t="str">
        <f aca="false">"•  "&amp;Data!B12</f>
        <v>•  Developed features using Node.js, Spring Boot, AWS SQL, and Terraform.</v>
      </c>
      <c r="C24" s="12"/>
      <c r="D24" s="12"/>
      <c r="E24" s="12"/>
      <c r="F24" s="12"/>
    </row>
    <row r="25" customFormat="false" ht="15" hidden="false" customHeight="true" outlineLevel="0" collapsed="false">
      <c r="A25" s="11"/>
      <c r="B25" s="12" t="str">
        <f aca="false">"•  "&amp;Data!B13</f>
        <v>•  Maintained Spring Boot applications, applying security patches and dependency upgrades.</v>
      </c>
      <c r="C25" s="12"/>
      <c r="D25" s="12"/>
      <c r="E25" s="12"/>
      <c r="F25" s="12"/>
    </row>
    <row r="26" customFormat="false" ht="21.75" hidden="false" customHeight="true" outlineLevel="0" collapsed="false">
      <c r="A26" s="11"/>
      <c r="B26" s="12" t="str">
        <f aca="false">"•  "&amp;Data!B14</f>
        <v>•  Acted as a 'software detective' to identify and resolve issues across multiple components of critical business systems, applying Java Enterprise Edition skills.</v>
      </c>
      <c r="C26" s="12"/>
      <c r="D26" s="12"/>
      <c r="E26" s="12"/>
      <c r="F26" s="12"/>
    </row>
    <row r="27" customFormat="false" ht="21.75" hidden="false" customHeight="true" outlineLevel="0" collapsed="false">
      <c r="A27" s="13"/>
      <c r="B27" s="14" t="str">
        <f aca="false">"•  "&amp;Data!B15</f>
        <v>•  Defined product strategy and roadmap for 5 AMS products, managing SLAs and knowledge transfer.</v>
      </c>
      <c r="C27" s="14"/>
      <c r="D27" s="14"/>
      <c r="E27" s="14"/>
      <c r="F27" s="14"/>
    </row>
    <row r="29" customFormat="false" ht="21.75" hidden="false" customHeight="true" outlineLevel="0" collapsed="false">
      <c r="A29" s="9" t="s">
        <v>11</v>
      </c>
      <c r="B29" s="10" t="s">
        <v>12</v>
      </c>
      <c r="C29" s="10"/>
      <c r="D29" s="10"/>
      <c r="E29" s="10"/>
      <c r="F29" s="10"/>
    </row>
    <row r="30" customFormat="false" ht="15" hidden="false" customHeight="true" outlineLevel="0" collapsed="false">
      <c r="A30" s="11"/>
      <c r="B30" s="12" t="str">
        <f aca="false">"•  "&amp;Data!B16</f>
        <v>•  Developed smartcard applets (ISO7816, GlobalPlatform).</v>
      </c>
      <c r="C30" s="12"/>
      <c r="D30" s="12"/>
      <c r="E30" s="12"/>
      <c r="F30" s="12"/>
    </row>
    <row r="31" customFormat="false" ht="15" hidden="false" customHeight="true" outlineLevel="0" collapsed="false">
      <c r="A31" s="11"/>
      <c r="B31" s="12" t="str">
        <f aca="false">"•  "&amp;Data!B17</f>
        <v>•  Integrated FIDO/FIDO2 authentication into smartcards/hardware tokens.</v>
      </c>
      <c r="C31" s="12"/>
      <c r="D31" s="12"/>
      <c r="E31" s="12"/>
      <c r="F31" s="12"/>
    </row>
    <row r="32" customFormat="false" ht="15" hidden="false" customHeight="true" outlineLevel="0" collapsed="false">
      <c r="A32" s="13"/>
      <c r="B32" s="14" t="str">
        <f aca="false">"•  "&amp;Data!B18</f>
        <v>•  Supported full lifecycle from prototyping to compliance validation.</v>
      </c>
      <c r="C32" s="14"/>
      <c r="D32" s="14"/>
      <c r="E32" s="14"/>
      <c r="F32" s="14"/>
    </row>
    <row r="34" customFormat="false" ht="15" hidden="false" customHeight="true" outlineLevel="0" collapsed="false">
      <c r="A34" s="9" t="s">
        <v>13</v>
      </c>
      <c r="B34" s="10" t="s">
        <v>14</v>
      </c>
      <c r="C34" s="10"/>
      <c r="D34" s="10"/>
      <c r="E34" s="10"/>
      <c r="F34" s="10"/>
    </row>
    <row r="35" customFormat="false" ht="15" hidden="false" customHeight="true" outlineLevel="0" collapsed="false">
      <c r="A35" s="11"/>
      <c r="B35" s="12" t="str">
        <f aca="false">"•  "&amp;Data!B19</f>
        <v>•  Led embedded automotive software projects in Engine/OBD domain.</v>
      </c>
      <c r="C35" s="12"/>
      <c r="D35" s="12"/>
      <c r="E35" s="12"/>
      <c r="F35" s="12"/>
    </row>
    <row r="36" customFormat="false" ht="15" hidden="false" customHeight="true" outlineLevel="0" collapsed="false">
      <c r="A36" s="11"/>
      <c r="B36" s="12" t="str">
        <f aca="false">"•  "&amp;Data!B20</f>
        <v>•  Applied Toyota standards, MISRA 2004/2012, C90/C99 compliance.</v>
      </c>
      <c r="C36" s="12"/>
      <c r="D36" s="12"/>
      <c r="E36" s="12"/>
      <c r="F36" s="12"/>
    </row>
    <row r="37" customFormat="false" ht="15" hidden="false" customHeight="true" outlineLevel="0" collapsed="false">
      <c r="A37" s="11"/>
      <c r="B37" s="12" t="str">
        <f aca="false">"•  "&amp;Data!B21</f>
        <v>•  Designed sensor/data interface logic for real-time automotive systems.</v>
      </c>
      <c r="C37" s="12"/>
      <c r="D37" s="12"/>
      <c r="E37" s="12"/>
      <c r="F37" s="12"/>
    </row>
    <row r="38" customFormat="false" ht="15" hidden="false" customHeight="true" outlineLevel="0" collapsed="false">
      <c r="A38" s="13"/>
      <c r="B38" s="14" t="str">
        <f aca="false">"•  "&amp;Data!B22</f>
        <v>•  Trained engineers in embedded development and unit testing.</v>
      </c>
      <c r="C38" s="14"/>
      <c r="D38" s="14"/>
      <c r="E38" s="14"/>
      <c r="F38" s="14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</row>
    <row r="41" customFormat="false" ht="15" hidden="false" customHeight="true" outlineLevel="0" collapsed="false">
      <c r="A41" s="8" t="s">
        <v>15</v>
      </c>
      <c r="B41" s="8"/>
      <c r="C41" s="8"/>
      <c r="D41" s="8"/>
      <c r="E41" s="8"/>
      <c r="F41" s="8"/>
    </row>
    <row r="42" customFormat="false" ht="21.75" hidden="false" customHeight="true" outlineLevel="0" collapsed="false">
      <c r="A42" s="15" t="s">
        <v>16</v>
      </c>
      <c r="B42" s="16" t="s">
        <v>17</v>
      </c>
      <c r="C42" s="16"/>
      <c r="D42" s="16"/>
      <c r="E42" s="16"/>
      <c r="F42" s="16"/>
    </row>
    <row r="43" customFormat="false" ht="21.75" hidden="false" customHeight="true" outlineLevel="0" collapsed="false">
      <c r="A43" s="15" t="s">
        <v>18</v>
      </c>
      <c r="B43" s="16" t="s">
        <v>19</v>
      </c>
      <c r="C43" s="16"/>
      <c r="D43" s="16"/>
      <c r="E43" s="16"/>
      <c r="F43" s="16"/>
    </row>
  </sheetData>
  <mergeCells count="35">
    <mergeCell ref="A1:F1"/>
    <mergeCell ref="A2:F2"/>
    <mergeCell ref="A3:F3"/>
    <mergeCell ref="A5:F5"/>
    <mergeCell ref="B6:F6"/>
    <mergeCell ref="B8:F8"/>
    <mergeCell ref="A10:F10"/>
    <mergeCell ref="A11:F11"/>
    <mergeCell ref="B12:F12"/>
    <mergeCell ref="B13:F13"/>
    <mergeCell ref="B14:F14"/>
    <mergeCell ref="B15:F15"/>
    <mergeCell ref="B16:F16"/>
    <mergeCell ref="B18:F18"/>
    <mergeCell ref="B19:F19"/>
    <mergeCell ref="B20:F20"/>
    <mergeCell ref="B21:F21"/>
    <mergeCell ref="B23:F23"/>
    <mergeCell ref="B24:F24"/>
    <mergeCell ref="B25:F25"/>
    <mergeCell ref="B26:F26"/>
    <mergeCell ref="B27:F27"/>
    <mergeCell ref="B29:F29"/>
    <mergeCell ref="B30:F30"/>
    <mergeCell ref="B31:F31"/>
    <mergeCell ref="B32:F32"/>
    <mergeCell ref="B34:F34"/>
    <mergeCell ref="B35:F35"/>
    <mergeCell ref="B36:F36"/>
    <mergeCell ref="B37:F37"/>
    <mergeCell ref="B38:F38"/>
    <mergeCell ref="A40:F40"/>
    <mergeCell ref="A41:F41"/>
    <mergeCell ref="B42:F42"/>
    <mergeCell ref="B43:F4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0"/>
    <col collapsed="false" customWidth="true" hidden="false" outlineLevel="0" max="4" min="4" style="1" width="60"/>
  </cols>
  <sheetData>
    <row r="1" customFormat="false" ht="32.25" hidden="false" customHeight="true" outlineLevel="0" collapsed="false">
      <c r="A1" s="17" t="s">
        <v>20</v>
      </c>
      <c r="B1" s="17" t="s">
        <v>21</v>
      </c>
      <c r="D1" s="18" t="s">
        <v>22</v>
      </c>
    </row>
    <row r="2" customFormat="false" ht="15" hidden="false" customHeight="true" outlineLevel="0" collapsed="false">
      <c r="A2" s="19" t="s">
        <v>23</v>
      </c>
      <c r="B2" s="20" t="s">
        <v>24</v>
      </c>
    </row>
    <row r="3" customFormat="false" ht="23.25" hidden="false" customHeight="true" outlineLevel="0" collapsed="false">
      <c r="A3" s="19" t="s">
        <v>25</v>
      </c>
      <c r="B3" s="20" t="s">
        <v>26</v>
      </c>
    </row>
    <row r="4" customFormat="false" ht="34.5" hidden="false" customHeight="true" outlineLevel="0" collapsed="false">
      <c r="A4" s="19" t="s">
        <v>27</v>
      </c>
      <c r="B4" s="20" t="s">
        <v>28</v>
      </c>
    </row>
    <row r="5" customFormat="false" ht="15" hidden="false" customHeight="true" outlineLevel="0" collapsed="false">
      <c r="A5" s="19" t="s">
        <v>29</v>
      </c>
      <c r="B5" s="20" t="s">
        <v>30</v>
      </c>
    </row>
    <row r="6" customFormat="false" ht="23.25" hidden="false" customHeight="true" outlineLevel="0" collapsed="false">
      <c r="A6" s="19" t="s">
        <v>31</v>
      </c>
      <c r="B6" s="20" t="s">
        <v>32</v>
      </c>
    </row>
    <row r="7" customFormat="false" ht="15" hidden="false" customHeight="true" outlineLevel="0" collapsed="false">
      <c r="A7" s="19" t="s">
        <v>33</v>
      </c>
      <c r="B7" s="20" t="s">
        <v>34</v>
      </c>
    </row>
    <row r="8" customFormat="false" ht="15" hidden="false" customHeight="true" outlineLevel="0" collapsed="false">
      <c r="A8" s="19" t="s">
        <v>35</v>
      </c>
      <c r="B8" s="20" t="s">
        <v>36</v>
      </c>
    </row>
    <row r="9" customFormat="false" ht="15" hidden="false" customHeight="true" outlineLevel="0" collapsed="false">
      <c r="A9" s="19" t="s">
        <v>37</v>
      </c>
      <c r="B9" s="20" t="s">
        <v>38</v>
      </c>
    </row>
    <row r="10" customFormat="false" ht="15" hidden="false" customHeight="true" outlineLevel="0" collapsed="false">
      <c r="A10" s="19" t="s">
        <v>39</v>
      </c>
      <c r="B10" s="20" t="s">
        <v>40</v>
      </c>
    </row>
    <row r="11" customFormat="false" ht="15" hidden="false" customHeight="true" outlineLevel="0" collapsed="false">
      <c r="A11" s="19" t="s">
        <v>41</v>
      </c>
      <c r="B11" s="20" t="s">
        <v>42</v>
      </c>
    </row>
    <row r="12" customFormat="false" ht="15" hidden="false" customHeight="true" outlineLevel="0" collapsed="false">
      <c r="A12" s="19" t="s">
        <v>43</v>
      </c>
      <c r="B12" s="20" t="s">
        <v>44</v>
      </c>
    </row>
    <row r="13" customFormat="false" ht="15" hidden="false" customHeight="true" outlineLevel="0" collapsed="false">
      <c r="A13" s="19" t="s">
        <v>45</v>
      </c>
      <c r="B13" s="20" t="s">
        <v>46</v>
      </c>
    </row>
    <row r="14" customFormat="false" ht="23.25" hidden="false" customHeight="true" outlineLevel="0" collapsed="false">
      <c r="A14" s="19" t="s">
        <v>47</v>
      </c>
      <c r="B14" s="20" t="s">
        <v>48</v>
      </c>
    </row>
    <row r="15" customFormat="false" ht="15" hidden="false" customHeight="true" outlineLevel="0" collapsed="false">
      <c r="A15" s="19" t="s">
        <v>49</v>
      </c>
      <c r="B15" s="20" t="s">
        <v>50</v>
      </c>
    </row>
    <row r="16" customFormat="false" ht="15" hidden="false" customHeight="true" outlineLevel="0" collapsed="false">
      <c r="A16" s="19" t="s">
        <v>51</v>
      </c>
      <c r="B16" s="20" t="s">
        <v>52</v>
      </c>
    </row>
    <row r="17" customFormat="false" ht="15" hidden="false" customHeight="true" outlineLevel="0" collapsed="false">
      <c r="A17" s="19" t="s">
        <v>53</v>
      </c>
      <c r="B17" s="20" t="s">
        <v>54</v>
      </c>
    </row>
    <row r="18" customFormat="false" ht="15" hidden="false" customHeight="true" outlineLevel="0" collapsed="false">
      <c r="A18" s="19" t="s">
        <v>55</v>
      </c>
      <c r="B18" s="20" t="s">
        <v>56</v>
      </c>
    </row>
    <row r="19" customFormat="false" ht="15" hidden="false" customHeight="true" outlineLevel="0" collapsed="false">
      <c r="A19" s="19" t="s">
        <v>57</v>
      </c>
      <c r="B19" s="20" t="s">
        <v>58</v>
      </c>
    </row>
    <row r="20" customFormat="false" ht="15" hidden="false" customHeight="true" outlineLevel="0" collapsed="false">
      <c r="A20" s="19" t="s">
        <v>59</v>
      </c>
      <c r="B20" s="20" t="s">
        <v>60</v>
      </c>
    </row>
    <row r="21" customFormat="false" ht="15" hidden="false" customHeight="true" outlineLevel="0" collapsed="false">
      <c r="A21" s="19" t="s">
        <v>61</v>
      </c>
      <c r="B21" s="20" t="s">
        <v>62</v>
      </c>
    </row>
    <row r="22" customFormat="false" ht="15" hidden="false" customHeight="true" outlineLevel="0" collapsed="false">
      <c r="A22" s="19" t="s">
        <v>63</v>
      </c>
      <c r="B22" s="2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2026-09-02T04:16:30Z</dcterms:created>
  <dc:creator>openpyxl</dc:creator>
  <dc:description/>
  <dc:language>en-US</dc:language>
  <cp:lastModifiedBy/>
  <dcterms:modified xsi:type="dcterms:W3CDTF">2026-09-02T04:17:37Z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